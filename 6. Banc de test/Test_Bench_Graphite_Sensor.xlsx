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U:\Documents\Projet capteur\"/>
    </mc:Choice>
  </mc:AlternateContent>
  <xr:revisionPtr revIDLastSave="0" documentId="13_ncr:1_{23BEFE55-838A-4F49-BD1C-8CE7D19EC439}" xr6:coauthVersionLast="47" xr6:coauthVersionMax="47" xr10:uidLastSave="{00000000-0000-0000-0000-000000000000}"/>
  <bookViews>
    <workbookView xWindow="735" yWindow="735" windowWidth="21600" windowHeight="11295" activeTab="1" xr2:uid="{26EDFF1A-5543-4014-A9E9-28F5123E8873}"/>
  </bookViews>
  <sheets>
    <sheet name="En tension" sheetId="1" r:id="rId1"/>
    <sheet name="En 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2" l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B29" i="2"/>
  <c r="B28" i="2"/>
  <c r="B27" i="2"/>
  <c r="B26" i="2"/>
  <c r="B25" i="2"/>
  <c r="B24" i="2"/>
  <c r="E24" i="1"/>
  <c r="E25" i="1"/>
  <c r="E26" i="1"/>
  <c r="E27" i="1"/>
  <c r="E28" i="1"/>
  <c r="E29" i="1"/>
  <c r="E23" i="1"/>
  <c r="F25" i="1"/>
  <c r="F26" i="1"/>
  <c r="F27" i="1"/>
  <c r="F28" i="1"/>
  <c r="F29" i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2" i="1"/>
  <c r="F24" i="1"/>
  <c r="B29" i="1"/>
  <c r="B28" i="1"/>
  <c r="B27" i="1"/>
  <c r="B26" i="1"/>
  <c r="B25" i="1"/>
  <c r="B24" i="1"/>
  <c r="E18" i="2"/>
  <c r="F18" i="2" s="1"/>
  <c r="B18" i="2"/>
  <c r="E17" i="2"/>
  <c r="F17" i="2" s="1"/>
  <c r="B17" i="2"/>
  <c r="E16" i="2"/>
  <c r="F16" i="2" s="1"/>
  <c r="B16" i="2"/>
  <c r="E15" i="2"/>
  <c r="F15" i="2" s="1"/>
  <c r="B15" i="2"/>
  <c r="E14" i="2"/>
  <c r="F14" i="2" s="1"/>
  <c r="B14" i="2"/>
  <c r="E13" i="2"/>
  <c r="F13" i="2" s="1"/>
  <c r="B13" i="2"/>
  <c r="E12" i="2"/>
  <c r="B18" i="1"/>
  <c r="B17" i="1"/>
  <c r="B16" i="1"/>
  <c r="B15" i="1"/>
  <c r="B14" i="1"/>
  <c r="B13" i="1"/>
  <c r="F4" i="2"/>
  <c r="F5" i="2"/>
  <c r="F6" i="2"/>
  <c r="F3" i="2"/>
  <c r="E8" i="2"/>
  <c r="E7" i="2"/>
  <c r="E6" i="2"/>
  <c r="B6" i="2"/>
  <c r="E5" i="2"/>
  <c r="B5" i="2"/>
  <c r="E4" i="2"/>
  <c r="B4" i="2"/>
  <c r="E3" i="2"/>
  <c r="B3" i="2"/>
  <c r="E2" i="2"/>
  <c r="B4" i="1"/>
  <c r="B5" i="1"/>
  <c r="B6" i="1"/>
  <c r="B7" i="1"/>
  <c r="B8" i="1"/>
  <c r="B3" i="1"/>
  <c r="E2" i="1"/>
  <c r="E4" i="1"/>
  <c r="F4" i="1" s="1"/>
  <c r="E5" i="1"/>
  <c r="F5" i="1" s="1"/>
  <c r="E6" i="1"/>
  <c r="F6" i="1" s="1"/>
  <c r="E7" i="1"/>
  <c r="F7" i="1" s="1"/>
  <c r="E8" i="1"/>
  <c r="F8" i="1" s="1"/>
  <c r="E3" i="1"/>
  <c r="F3" i="1" s="1"/>
</calcChain>
</file>

<file path=xl/sharedStrings.xml><?xml version="1.0" encoding="utf-8"?>
<sst xmlns="http://schemas.openxmlformats.org/spreadsheetml/2006/main" count="41" uniqueCount="14">
  <si>
    <t>R mesurée</t>
  </si>
  <si>
    <r>
      <rPr>
        <sz val="11"/>
        <color theme="1"/>
        <rFont val="Calibri"/>
      </rPr>
      <t>Δ</t>
    </r>
    <r>
      <rPr>
        <sz val="11"/>
        <color theme="1"/>
        <rFont val="Calibri"/>
        <family val="2"/>
      </rPr>
      <t>R</t>
    </r>
  </si>
  <si>
    <r>
      <t>Δ</t>
    </r>
    <r>
      <rPr>
        <sz val="11"/>
        <color theme="1"/>
        <rFont val="Calibri"/>
        <family val="2"/>
      </rPr>
      <t>R</t>
    </r>
    <r>
      <rPr>
        <sz val="11"/>
        <color theme="1"/>
        <rFont val="Calibri"/>
      </rPr>
      <t>/R0</t>
    </r>
  </si>
  <si>
    <t>Rayon du cylindre (cm)</t>
  </si>
  <si>
    <t>Déformation ε</t>
  </si>
  <si>
    <t>Crayon HB</t>
  </si>
  <si>
    <t>Crayon 2B</t>
  </si>
  <si>
    <t>Crayon 4B</t>
  </si>
  <si>
    <r>
      <t>ΔR</t>
    </r>
    <r>
      <rPr>
        <sz val="11"/>
        <color theme="1"/>
        <rFont val="Calibri"/>
      </rPr>
      <t>/R0</t>
    </r>
  </si>
  <si>
    <t>338289.25</t>
  </si>
  <si>
    <t>32294908.00</t>
  </si>
  <si>
    <t>333035.87</t>
  </si>
  <si>
    <t>125305.38</t>
  </si>
  <si>
    <t>433798.31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</si>
</sst>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4E5B6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 tension'!$F$1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 tension'!$B$2:$B$8</c:f>
              <c:numCache>
                <c:formatCode>General</c:formatCode>
                <c:ptCount val="7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  <c:pt idx="4">
                  <c:v>5.7142857142857143E-3</c:v>
                </c:pt>
                <c:pt idx="5">
                  <c:v>6.6666666666666671E-3</c:v>
                </c:pt>
                <c:pt idx="6">
                  <c:v>0.01</c:v>
                </c:pt>
              </c:numCache>
            </c:numRef>
          </c:xVal>
          <c:yVal>
            <c:numRef>
              <c:f>'En tension'!$F$2:$F$8</c:f>
              <c:numCache>
                <c:formatCode>General</c:formatCode>
                <c:ptCount val="7"/>
                <c:pt idx="1">
                  <c:v>0.13736173236609717</c:v>
                </c:pt>
                <c:pt idx="2">
                  <c:v>0.13736173236609717</c:v>
                </c:pt>
                <c:pt idx="3">
                  <c:v>0.1695424138393519</c:v>
                </c:pt>
                <c:pt idx="4">
                  <c:v>0.20025129943928224</c:v>
                </c:pt>
                <c:pt idx="5">
                  <c:v>0.24913586405359173</c:v>
                </c:pt>
                <c:pt idx="6">
                  <c:v>0.38661877545642143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46-4349-99F4-CE6A9DF27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446256"/>
        <c:axId val="1922198832"/>
      </c:scatterChart>
      <c:valAx>
        <c:axId val="176544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2198832"/>
        <c:crosses val="autoZero"/>
        <c:crossBetween val="midCat"/>
      </c:valAx>
      <c:valAx>
        <c:axId val="19221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544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4B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 tension'!$F$22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 tension'!$B$23:$B$29</c:f>
              <c:numCache>
                <c:formatCode>General</c:formatCode>
                <c:ptCount val="7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  <c:pt idx="4">
                  <c:v>5.7142857142857143E-3</c:v>
                </c:pt>
                <c:pt idx="5">
                  <c:v>6.6666666666666671E-3</c:v>
                </c:pt>
                <c:pt idx="6">
                  <c:v>0.01</c:v>
                </c:pt>
              </c:numCache>
            </c:numRef>
          </c:xVal>
          <c:yVal>
            <c:numRef>
              <c:f>'En tension'!$F$23:$F$29</c:f>
              <c:numCache>
                <c:formatCode>General</c:formatCode>
                <c:ptCount val="7"/>
                <c:pt idx="1">
                  <c:v>5.3515126886481787E-2</c:v>
                </c:pt>
                <c:pt idx="2">
                  <c:v>6.58209691041831E-2</c:v>
                </c:pt>
                <c:pt idx="3">
                  <c:v>7.3326768518954949E-2</c:v>
                </c:pt>
                <c:pt idx="4">
                  <c:v>7.5850357901280654E-2</c:v>
                </c:pt>
                <c:pt idx="5">
                  <c:v>0.12040107364014711</c:v>
                </c:pt>
                <c:pt idx="6">
                  <c:v>0.23607344269311956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9-48E8-AA2A-6372C0B7B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629920"/>
        <c:axId val="2009633248"/>
      </c:scatterChart>
      <c:valAx>
        <c:axId val="200962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9633248"/>
        <c:crosses val="autoZero"/>
        <c:crossBetween val="midCat"/>
      </c:valAx>
      <c:valAx>
        <c:axId val="20096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962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 tension'!$F$11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 tension'!$B$12:$B$18</c:f>
              <c:numCache>
                <c:formatCode>General</c:formatCode>
                <c:ptCount val="7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  <c:pt idx="4">
                  <c:v>5.7142857142857143E-3</c:v>
                </c:pt>
                <c:pt idx="5">
                  <c:v>6.6666666666666671E-3</c:v>
                </c:pt>
                <c:pt idx="6">
                  <c:v>0.01</c:v>
                </c:pt>
              </c:numCache>
            </c:numRef>
          </c:xVal>
          <c:yVal>
            <c:numRef>
              <c:f>'En tension'!$F$12:$F$18</c:f>
              <c:numCache>
                <c:formatCode>General</c:formatCode>
                <c:ptCount val="7"/>
                <c:pt idx="1">
                  <c:v>0.14653124494337755</c:v>
                </c:pt>
                <c:pt idx="2">
                  <c:v>0.14962443219259838</c:v>
                </c:pt>
                <c:pt idx="3">
                  <c:v>0.17166837468135951</c:v>
                </c:pt>
                <c:pt idx="4">
                  <c:v>0.19111863627729403</c:v>
                </c:pt>
                <c:pt idx="5">
                  <c:v>0.20104310059776606</c:v>
                </c:pt>
                <c:pt idx="6">
                  <c:v>0.37642376899824354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6A-47AE-A6D4-BC79650F7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153007"/>
        <c:axId val="1524154255"/>
      </c:scatterChart>
      <c:valAx>
        <c:axId val="152415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4154255"/>
        <c:crosses val="autoZero"/>
        <c:crossBetween val="midCat"/>
      </c:valAx>
      <c:valAx>
        <c:axId val="152415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415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 u="sng"/>
              <a:t>Mesure de</a:t>
            </a:r>
            <a:r>
              <a:rPr lang="fr-FR" b="1" u="sng" baseline="0"/>
              <a:t> la variation relative de résistance en fonction de la déformation en tension</a:t>
            </a:r>
            <a:endParaRPr lang="fr-FR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'En tension'!$B$2:$B$8</c:f>
              <c:numCache>
                <c:formatCode>General</c:formatCode>
                <c:ptCount val="7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  <c:pt idx="4">
                  <c:v>5.7142857142857143E-3</c:v>
                </c:pt>
                <c:pt idx="5">
                  <c:v>6.6666666666666671E-3</c:v>
                </c:pt>
                <c:pt idx="6">
                  <c:v>0.01</c:v>
                </c:pt>
              </c:numCache>
            </c:numRef>
          </c:xVal>
          <c:yVal>
            <c:numRef>
              <c:f>'En tension'!$F$2:$F$8</c:f>
              <c:numCache>
                <c:formatCode>General</c:formatCode>
                <c:ptCount val="7"/>
                <c:pt idx="1">
                  <c:v>0.13736173236609717</c:v>
                </c:pt>
                <c:pt idx="2">
                  <c:v>0.13736173236609717</c:v>
                </c:pt>
                <c:pt idx="3">
                  <c:v>0.1695424138393519</c:v>
                </c:pt>
                <c:pt idx="4">
                  <c:v>0.20025129943928224</c:v>
                </c:pt>
                <c:pt idx="5">
                  <c:v>0.24913586405359173</c:v>
                </c:pt>
                <c:pt idx="6">
                  <c:v>0.38661877545642143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8D-4E37-A411-140AA5F5B973}"/>
            </c:ext>
          </c:extLst>
        </c:ser>
        <c:ser>
          <c:idx val="1"/>
          <c:order val="1"/>
          <c:tx>
            <c:v>2B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582268667754116"/>
                  <c:y val="8.01497170857840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'En tension'!$B$3:$B$8</c:f>
              <c:numCache>
                <c:formatCode>General</c:formatCode>
                <c:ptCount val="6"/>
                <c:pt idx="0">
                  <c:v>4.0000000000000001E-3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0.01</c:v>
                </c:pt>
              </c:numCache>
            </c:numRef>
          </c:xVal>
          <c:yVal>
            <c:numRef>
              <c:f>'En tension'!$F$13:$F$18</c:f>
              <c:numCache>
                <c:formatCode>General</c:formatCode>
                <c:ptCount val="6"/>
                <c:pt idx="0">
                  <c:v>0.14653124494337755</c:v>
                </c:pt>
                <c:pt idx="1">
                  <c:v>0.14962443219259838</c:v>
                </c:pt>
                <c:pt idx="2">
                  <c:v>0.17166837468135951</c:v>
                </c:pt>
                <c:pt idx="3">
                  <c:v>0.19111863627729403</c:v>
                </c:pt>
                <c:pt idx="4">
                  <c:v>0.20104310059776606</c:v>
                </c:pt>
                <c:pt idx="5">
                  <c:v>0.37642376899824354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8D-4E37-A411-140AA5F5B973}"/>
            </c:ext>
          </c:extLst>
        </c:ser>
        <c:ser>
          <c:idx val="2"/>
          <c:order val="2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776183158433635"/>
                  <c:y val="8.2019391890608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'En tension'!$B$3:$B$8</c:f>
              <c:numCache>
                <c:formatCode>General</c:formatCode>
                <c:ptCount val="6"/>
                <c:pt idx="0">
                  <c:v>4.0000000000000001E-3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  <c:pt idx="4">
                  <c:v>6.6666666666666671E-3</c:v>
                </c:pt>
                <c:pt idx="5">
                  <c:v>0.01</c:v>
                </c:pt>
              </c:numCache>
            </c:numRef>
          </c:xVal>
          <c:yVal>
            <c:numRef>
              <c:f>'En tension'!$F$24:$F$29</c:f>
              <c:numCache>
                <c:formatCode>General</c:formatCode>
                <c:ptCount val="6"/>
                <c:pt idx="0">
                  <c:v>5.3515126886481787E-2</c:v>
                </c:pt>
                <c:pt idx="1">
                  <c:v>6.58209691041831E-2</c:v>
                </c:pt>
                <c:pt idx="2">
                  <c:v>7.3326768518954949E-2</c:v>
                </c:pt>
                <c:pt idx="3">
                  <c:v>7.5850357901280654E-2</c:v>
                </c:pt>
                <c:pt idx="4">
                  <c:v>0.12040107364014711</c:v>
                </c:pt>
                <c:pt idx="5">
                  <c:v>0.23607344269311956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8D-4E37-A411-140AA5F5B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707919"/>
        <c:axId val="1333714991"/>
      </c:scatterChart>
      <c:valAx>
        <c:axId val="133370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Déformation </a:t>
                </a:r>
                <a:r>
                  <a:rPr lang="el-GR"/>
                  <a:t>ε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714991"/>
        <c:crosses val="autoZero"/>
        <c:crossBetween val="midCat"/>
      </c:valAx>
      <c:valAx>
        <c:axId val="133371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baseline="0">
                    <a:effectLst/>
                  </a:rPr>
                  <a:t>Δ</a:t>
                </a:r>
                <a:r>
                  <a:rPr lang="fr-FR" sz="1000" b="0" i="0" u="none" strike="noStrike" baseline="0">
                    <a:effectLst/>
                  </a:rPr>
                  <a:t>R/R0</a:t>
                </a:r>
                <a:r>
                  <a:rPr lang="fr-FR" sz="1000" b="0" i="0" u="none" strike="noStrike" baseline="0"/>
                  <a:t> 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3707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HB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 compression'!$B$3:$B$6</c:f>
              <c:numCache>
                <c:formatCode>General</c:formatCode>
                <c:ptCount val="4"/>
                <c:pt idx="0">
                  <c:v>4.0000000000000001E-3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</c:numCache>
            </c:numRef>
          </c:xVal>
          <c:yVal>
            <c:numRef>
              <c:f>'En compression'!$F$3:$F$6</c:f>
              <c:numCache>
                <c:formatCode>General</c:formatCode>
                <c:ptCount val="4"/>
                <c:pt idx="0">
                  <c:v>-0.10709357306103394</c:v>
                </c:pt>
                <c:pt idx="1">
                  <c:v>-0.11254607538176745</c:v>
                </c:pt>
                <c:pt idx="2">
                  <c:v>-0.11793994864528877</c:v>
                </c:pt>
                <c:pt idx="3">
                  <c:v>-0.14406570797300891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77-4553-A9D3-0A3AC5A5E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258272"/>
        <c:axId val="1881415408"/>
      </c:scatterChart>
      <c:valAx>
        <c:axId val="192225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415408"/>
        <c:crosses val="autoZero"/>
        <c:crossBetween val="midCat"/>
      </c:valAx>
      <c:valAx>
        <c:axId val="188141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2225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4B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 compression'!$F$22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 compression'!$B$23:$B$27</c:f>
              <c:numCache>
                <c:formatCode>General</c:formatCode>
                <c:ptCount val="5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  <c:pt idx="4">
                  <c:v>5.7142857142857143E-3</c:v>
                </c:pt>
              </c:numCache>
            </c:numRef>
          </c:xVal>
          <c:yVal>
            <c:numRef>
              <c:f>'En compression'!$F$23:$F$27</c:f>
              <c:numCache>
                <c:formatCode>General</c:formatCode>
                <c:ptCount val="5"/>
                <c:pt idx="1">
                  <c:v>-3.2498840641585265E-2</c:v>
                </c:pt>
                <c:pt idx="2">
                  <c:v>-6.1758838727723753E-2</c:v>
                </c:pt>
                <c:pt idx="3">
                  <c:v>-9.0432410017838166E-2</c:v>
                </c:pt>
                <c:pt idx="4">
                  <c:v>-0.11190814446219265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9-4BD0-9C22-19BB77674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709504"/>
        <c:axId val="2015704512"/>
      </c:scatterChart>
      <c:valAx>
        <c:axId val="2015709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5704512"/>
        <c:crosses val="autoZero"/>
        <c:crossBetween val="midCat"/>
      </c:valAx>
      <c:valAx>
        <c:axId val="20157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5709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2B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'En compression'!$F$11</c:f>
              <c:strCache>
                <c:ptCount val="1"/>
                <c:pt idx="0">
                  <c:v>ΔR/R0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'En compression'!$B$12:$B$15</c:f>
              <c:numCache>
                <c:formatCode>General</c:formatCode>
                <c:ptCount val="4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</c:numCache>
            </c:numRef>
          </c:xVal>
          <c:yVal>
            <c:numRef>
              <c:f>'En compression'!$F$12:$F$15</c:f>
              <c:numCache>
                <c:formatCode>General</c:formatCode>
                <c:ptCount val="4"/>
                <c:pt idx="1">
                  <c:v>-0.54234483657150301</c:v>
                </c:pt>
                <c:pt idx="2">
                  <c:v>-0.55405761933456021</c:v>
                </c:pt>
                <c:pt idx="3">
                  <c:v>-0.57125113322367527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3-4278-84C5-28058A6D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6399727"/>
        <c:axId val="1536400559"/>
      </c:scatterChart>
      <c:valAx>
        <c:axId val="153639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6400559"/>
        <c:crosses val="autoZero"/>
        <c:crossBetween val="midCat"/>
      </c:valAx>
      <c:valAx>
        <c:axId val="153640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639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800" b="1" i="0" u="sng" baseline="0">
                <a:effectLst/>
              </a:rPr>
              <a:t>Mesure de la variation relative de résistance en fonction de la déformation en tension</a:t>
            </a:r>
            <a:endParaRPr lang="fr-F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HB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6061590812468007E-2"/>
                  <c:y val="2.75126655679667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'En compression'!$B$2:$B$6</c:f>
              <c:numCache>
                <c:formatCode>General</c:formatCode>
                <c:ptCount val="5"/>
                <c:pt idx="1">
                  <c:v>4.0000000000000001E-3</c:v>
                </c:pt>
                <c:pt idx="2">
                  <c:v>4.4444444444444444E-3</c:v>
                </c:pt>
                <c:pt idx="3">
                  <c:v>5.0000000000000001E-3</c:v>
                </c:pt>
                <c:pt idx="4">
                  <c:v>5.7142857142857143E-3</c:v>
                </c:pt>
              </c:numCache>
            </c:numRef>
          </c:xVal>
          <c:yVal>
            <c:numRef>
              <c:f>'En compression'!$F$2:$F$6</c:f>
              <c:numCache>
                <c:formatCode>General</c:formatCode>
                <c:ptCount val="5"/>
                <c:pt idx="1">
                  <c:v>-0.10709357306103394</c:v>
                </c:pt>
                <c:pt idx="2">
                  <c:v>-0.11254607538176745</c:v>
                </c:pt>
                <c:pt idx="3">
                  <c:v>-0.11793994864528877</c:v>
                </c:pt>
                <c:pt idx="4">
                  <c:v>-0.14406570797300891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B-458F-8F66-E5DFE8CA7913}"/>
            </c:ext>
          </c:extLst>
        </c:ser>
        <c:ser>
          <c:idx val="1"/>
          <c:order val="1"/>
          <c:tx>
            <c:v>2B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054172534166009E-2"/>
                  <c:y val="-7.14421046206433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'En compression'!$B$3:$B$6</c:f>
              <c:numCache>
                <c:formatCode>General</c:formatCode>
                <c:ptCount val="4"/>
                <c:pt idx="0">
                  <c:v>4.0000000000000001E-3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</c:numCache>
            </c:numRef>
          </c:xVal>
          <c:yVal>
            <c:numRef>
              <c:f>'En compression'!$F$13:$F$15</c:f>
              <c:numCache>
                <c:formatCode>General</c:formatCode>
                <c:ptCount val="3"/>
                <c:pt idx="0">
                  <c:v>-0.54234483657150301</c:v>
                </c:pt>
                <c:pt idx="1">
                  <c:v>-0.55405761933456021</c:v>
                </c:pt>
                <c:pt idx="2">
                  <c:v>-0.57125113322367527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9B-458F-8F66-E5DFE8CA7913}"/>
            </c:ext>
          </c:extLst>
        </c:ser>
        <c:ser>
          <c:idx val="2"/>
          <c:order val="2"/>
          <c:tx>
            <c:v>4B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8314463530318966E-2"/>
                  <c:y val="-6.86396874809253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'En compression'!$B$3:$B$6</c:f>
              <c:numCache>
                <c:formatCode>General</c:formatCode>
                <c:ptCount val="4"/>
                <c:pt idx="0">
                  <c:v>4.0000000000000001E-3</c:v>
                </c:pt>
                <c:pt idx="1">
                  <c:v>4.4444444444444444E-3</c:v>
                </c:pt>
                <c:pt idx="2">
                  <c:v>5.0000000000000001E-3</c:v>
                </c:pt>
                <c:pt idx="3">
                  <c:v>5.7142857142857143E-3</c:v>
                </c:pt>
              </c:numCache>
            </c:numRef>
          </c:xVal>
          <c:yVal>
            <c:numRef>
              <c:f>'En compression'!$F$24:$F$27</c:f>
              <c:numCache>
                <c:formatCode>General</c:formatCode>
                <c:ptCount val="4"/>
                <c:pt idx="0">
                  <c:v>-3.2498840641585265E-2</c:v>
                </c:pt>
                <c:pt idx="1">
                  <c:v>-6.1758838727723753E-2</c:v>
                </c:pt>
                <c:pt idx="2">
                  <c:v>-9.0432410017838166E-2</c:v>
                </c:pt>
                <c:pt idx="3">
                  <c:v>-0.11190814446219265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9B-458F-8F66-E5DFE8CA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499839"/>
        <c:axId val="1539499423"/>
      </c:scatterChart>
      <c:valAx>
        <c:axId val="153949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000" b="0" i="0" baseline="0">
                    <a:effectLst/>
                  </a:rPr>
                  <a:t>Déformation </a:t>
                </a:r>
                <a:r>
                  <a:rPr lang="el-GR" sz="1000" b="0" i="0" baseline="0">
                    <a:effectLst/>
                  </a:rPr>
                  <a:t>ε</a:t>
                </a:r>
                <a:endParaRPr lang="fr-F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9499423"/>
        <c:crosses val="autoZero"/>
        <c:crossBetween val="midCat"/>
      </c:valAx>
      <c:valAx>
        <c:axId val="15394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Δ</a:t>
                </a:r>
                <a:r>
                  <a:rPr lang="fr-FR" sz="1000" b="0" i="0" baseline="0">
                    <a:effectLst/>
                  </a:rPr>
                  <a:t>R/R0 </a:t>
                </a:r>
                <a:endParaRPr lang="fr-F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9499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</xdr:row>
      <xdr:rowOff>47625</xdr:rowOff>
    </xdr:from>
    <xdr:to>
      <xdr:col>16</xdr:col>
      <xdr:colOff>114300</xdr:colOff>
      <xdr:row>15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06521DC-B3E8-4319-9A46-8092089BD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676275</xdr:colOff>
      <xdr:row>21</xdr:row>
      <xdr:rowOff>128587</xdr:rowOff>
    </xdr:from>
    <xdr:to>
      <xdr:col>16</xdr:col>
      <xdr:colOff>676275</xdr:colOff>
      <xdr:row>36</xdr:row>
      <xdr:rowOff>14287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BC9B4E5-D88F-4E65-8B15-56ACF52FD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657225</xdr:colOff>
      <xdr:row>7</xdr:row>
      <xdr:rowOff>157162</xdr:rowOff>
    </xdr:from>
    <xdr:to>
      <xdr:col>17</xdr:col>
      <xdr:colOff>657225</xdr:colOff>
      <xdr:row>22</xdr:row>
      <xdr:rowOff>42862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248BC12-CB68-4168-B67B-98EAA21AD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</xdr:row>
      <xdr:rowOff>104775</xdr:rowOff>
    </xdr:from>
    <xdr:to>
      <xdr:col>6</xdr:col>
      <xdr:colOff>442913</xdr:colOff>
      <xdr:row>21</xdr:row>
      <xdr:rowOff>119062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3D0B1C9-CDD5-4D36-AA88-77D5FDD2C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</xdr:row>
      <xdr:rowOff>42862</xdr:rowOff>
    </xdr:from>
    <xdr:to>
      <xdr:col>13</xdr:col>
      <xdr:colOff>85725</xdr:colOff>
      <xdr:row>15</xdr:row>
      <xdr:rowOff>119062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B7E5AE7-BFF1-4DC9-AB18-3D0D0BBF9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371475</xdr:colOff>
      <xdr:row>16</xdr:row>
      <xdr:rowOff>42862</xdr:rowOff>
    </xdr:from>
    <xdr:to>
      <xdr:col>20</xdr:col>
      <xdr:colOff>371475</xdr:colOff>
      <xdr:row>30</xdr:row>
      <xdr:rowOff>119062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73513B3E-15A1-462A-9499-ED5390785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676275</xdr:colOff>
      <xdr:row>1</xdr:row>
      <xdr:rowOff>52387</xdr:rowOff>
    </xdr:from>
    <xdr:to>
      <xdr:col>19</xdr:col>
      <xdr:colOff>676275</xdr:colOff>
      <xdr:row>15</xdr:row>
      <xdr:rowOff>128587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50D9632-C490-45EF-A237-A90DFFC2D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</xdr:colOff>
      <xdr:row>14</xdr:row>
      <xdr:rowOff>104775</xdr:rowOff>
    </xdr:from>
    <xdr:to>
      <xdr:col>14</xdr:col>
      <xdr:colOff>285749</xdr:colOff>
      <xdr:row>36</xdr:row>
      <xdr:rowOff>9525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4AC7E84-2C99-4B6D-9500-F47E872BB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BA91-B2E6-4BC9-96E2-4882BE9A1190}">
  <dimension ref="A1:F34"/>
  <sheetViews>
    <sheetView workbookViewId="0">
      <selection activeCell="D34" sqref="D34"/>
    </sheetView>
  </sheetViews>
  <sheetFormatPr baseColWidth="10" defaultRowHeight="15"/>
  <cols>
    <col min="2" max="2" width="12.28515625" bestFit="1" customWidth="1"/>
    <col min="3" max="3" width="21.42578125" bestFit="1" customWidth="1"/>
  </cols>
  <sheetData>
    <row r="1" spans="1:6">
      <c r="A1" s="4" t="s">
        <v>5</v>
      </c>
      <c r="B1" s="2" t="s">
        <v>4</v>
      </c>
      <c r="C1" t="s">
        <v>3</v>
      </c>
      <c r="D1" t="s">
        <v>0</v>
      </c>
      <c r="E1" s="1" t="s">
        <v>1</v>
      </c>
      <c r="F1" s="1" t="s">
        <v>2</v>
      </c>
    </row>
    <row r="2" spans="1:6">
      <c r="C2">
        <v>0</v>
      </c>
      <c r="D2">
        <v>849982</v>
      </c>
      <c r="E2">
        <f>D2-$D$2</f>
        <v>0</v>
      </c>
      <c r="F2" s="1"/>
    </row>
    <row r="3" spans="1:6">
      <c r="B3">
        <f>0.02/(2*C3)</f>
        <v>4.0000000000000001E-3</v>
      </c>
      <c r="C3">
        <v>2.5</v>
      </c>
      <c r="D3" s="3">
        <v>966737</v>
      </c>
      <c r="E3">
        <f>D3-$D$2</f>
        <v>116755</v>
      </c>
      <c r="F3">
        <f>E3/$D$2</f>
        <v>0.13736173236609717</v>
      </c>
    </row>
    <row r="4" spans="1:6">
      <c r="B4">
        <f t="shared" ref="B4:B8" si="0">0.02/(2*C4)</f>
        <v>4.4444444444444444E-3</v>
      </c>
      <c r="C4">
        <v>2.25</v>
      </c>
      <c r="D4" s="3">
        <v>966737</v>
      </c>
      <c r="E4">
        <f t="shared" ref="E4:E8" si="1">D4-$D$2</f>
        <v>116755</v>
      </c>
      <c r="F4">
        <f t="shared" ref="F4:F8" si="2">E4/$D$2</f>
        <v>0.13736173236609717</v>
      </c>
    </row>
    <row r="5" spans="1:6">
      <c r="B5">
        <f t="shared" si="0"/>
        <v>5.0000000000000001E-3</v>
      </c>
      <c r="C5">
        <v>2</v>
      </c>
      <c r="D5" s="3">
        <v>994090</v>
      </c>
      <c r="E5">
        <f t="shared" si="1"/>
        <v>144108</v>
      </c>
      <c r="F5">
        <f t="shared" si="2"/>
        <v>0.1695424138393519</v>
      </c>
    </row>
    <row r="6" spans="1:6">
      <c r="B6">
        <f t="shared" si="0"/>
        <v>5.7142857142857143E-3</v>
      </c>
      <c r="C6">
        <v>1.75</v>
      </c>
      <c r="D6" s="3">
        <v>1020192</v>
      </c>
      <c r="E6">
        <f t="shared" si="1"/>
        <v>170210</v>
      </c>
      <c r="F6">
        <f t="shared" si="2"/>
        <v>0.20025129943928224</v>
      </c>
    </row>
    <row r="7" spans="1:6">
      <c r="B7">
        <f t="shared" si="0"/>
        <v>6.6666666666666671E-3</v>
      </c>
      <c r="C7">
        <v>1.5</v>
      </c>
      <c r="D7" s="3">
        <v>1061743</v>
      </c>
      <c r="E7">
        <f t="shared" si="1"/>
        <v>211761</v>
      </c>
      <c r="F7">
        <f t="shared" si="2"/>
        <v>0.24913586405359173</v>
      </c>
    </row>
    <row r="8" spans="1:6">
      <c r="B8">
        <f t="shared" si="0"/>
        <v>0.01</v>
      </c>
      <c r="C8">
        <v>1</v>
      </c>
      <c r="D8" s="3">
        <v>1178601</v>
      </c>
      <c r="E8">
        <f t="shared" si="1"/>
        <v>328619</v>
      </c>
      <c r="F8">
        <f t="shared" si="2"/>
        <v>0.38661877545642143</v>
      </c>
    </row>
    <row r="11" spans="1:6">
      <c r="A11" s="4" t="s">
        <v>6</v>
      </c>
      <c r="B11" s="2" t="s">
        <v>4</v>
      </c>
      <c r="C11" t="s">
        <v>3</v>
      </c>
      <c r="D11" t="s">
        <v>0</v>
      </c>
      <c r="E11" s="1" t="s">
        <v>1</v>
      </c>
      <c r="F11" s="1" t="s">
        <v>2</v>
      </c>
    </row>
    <row r="12" spans="1:6">
      <c r="C12">
        <v>0</v>
      </c>
      <c r="D12" s="3">
        <v>426421</v>
      </c>
      <c r="E12">
        <f>D12-$D$12</f>
        <v>0</v>
      </c>
      <c r="F12" s="1"/>
    </row>
    <row r="13" spans="1:6">
      <c r="B13">
        <f>0.02/(2*C13)</f>
        <v>4.0000000000000001E-3</v>
      </c>
      <c r="C13">
        <v>2.5</v>
      </c>
      <c r="D13" s="3">
        <v>488905</v>
      </c>
      <c r="E13">
        <f t="shared" ref="E13:E18" si="3">D13-$D$12</f>
        <v>62484</v>
      </c>
      <c r="F13">
        <f>E13/$D$12</f>
        <v>0.14653124494337755</v>
      </c>
    </row>
    <row r="14" spans="1:6">
      <c r="B14">
        <f t="shared" ref="B14:B18" si="4">0.02/(2*C14)</f>
        <v>4.4444444444444444E-3</v>
      </c>
      <c r="C14">
        <v>2.25</v>
      </c>
      <c r="D14" s="3">
        <v>490224</v>
      </c>
      <c r="E14">
        <f t="shared" si="3"/>
        <v>63803</v>
      </c>
      <c r="F14">
        <f t="shared" ref="F14:F18" si="5">E14/$D$12</f>
        <v>0.14962443219259838</v>
      </c>
    </row>
    <row r="15" spans="1:6">
      <c r="B15">
        <f t="shared" si="4"/>
        <v>5.0000000000000001E-3</v>
      </c>
      <c r="C15">
        <v>2</v>
      </c>
      <c r="D15" s="3">
        <v>499624</v>
      </c>
      <c r="E15">
        <f t="shared" si="3"/>
        <v>73203</v>
      </c>
      <c r="F15">
        <f t="shared" si="5"/>
        <v>0.17166837468135951</v>
      </c>
    </row>
    <row r="16" spans="1:6">
      <c r="B16">
        <f t="shared" si="4"/>
        <v>5.7142857142857143E-3</v>
      </c>
      <c r="C16">
        <v>1.75</v>
      </c>
      <c r="D16" s="3">
        <v>507918</v>
      </c>
      <c r="E16">
        <f t="shared" si="3"/>
        <v>81497</v>
      </c>
      <c r="F16">
        <f t="shared" si="5"/>
        <v>0.19111863627729403</v>
      </c>
    </row>
    <row r="17" spans="1:6">
      <c r="B17">
        <f t="shared" si="4"/>
        <v>6.6666666666666671E-3</v>
      </c>
      <c r="C17">
        <v>1.5</v>
      </c>
      <c r="D17" s="3">
        <v>512150</v>
      </c>
      <c r="E17">
        <f t="shared" si="3"/>
        <v>85729</v>
      </c>
      <c r="F17">
        <f t="shared" si="5"/>
        <v>0.20104310059776606</v>
      </c>
    </row>
    <row r="18" spans="1:6">
      <c r="B18">
        <f t="shared" si="4"/>
        <v>0.01</v>
      </c>
      <c r="C18">
        <v>1</v>
      </c>
      <c r="D18" s="3">
        <v>586936</v>
      </c>
      <c r="E18">
        <f t="shared" si="3"/>
        <v>160515</v>
      </c>
      <c r="F18">
        <f t="shared" si="5"/>
        <v>0.37642376899824354</v>
      </c>
    </row>
    <row r="22" spans="1:6">
      <c r="A22" s="4" t="s">
        <v>7</v>
      </c>
      <c r="B22" s="2" t="s">
        <v>4</v>
      </c>
      <c r="C22" t="s">
        <v>3</v>
      </c>
      <c r="D22" t="s">
        <v>0</v>
      </c>
      <c r="E22" s="1" t="s">
        <v>1</v>
      </c>
      <c r="F22" s="1" t="s">
        <v>2</v>
      </c>
    </row>
    <row r="23" spans="1:6">
      <c r="C23">
        <v>0</v>
      </c>
      <c r="D23" s="3">
        <v>784993</v>
      </c>
      <c r="E23">
        <f>D23-$D$23</f>
        <v>0</v>
      </c>
      <c r="F23" s="1"/>
    </row>
    <row r="24" spans="1:6">
      <c r="B24">
        <f>0.02/(2*C24)</f>
        <v>4.0000000000000001E-3</v>
      </c>
      <c r="C24">
        <v>2.5</v>
      </c>
      <c r="D24" s="3">
        <v>827002</v>
      </c>
      <c r="E24">
        <f t="shared" ref="E24:E29" si="6">D24-$D$23</f>
        <v>42009</v>
      </c>
      <c r="F24">
        <f>E24/$D$23</f>
        <v>5.3515126886481787E-2</v>
      </c>
    </row>
    <row r="25" spans="1:6">
      <c r="B25">
        <f t="shared" ref="B25:B29" si="7">0.02/(2*C25)</f>
        <v>4.4444444444444444E-3</v>
      </c>
      <c r="C25">
        <v>2.25</v>
      </c>
      <c r="D25" s="3">
        <v>836662</v>
      </c>
      <c r="E25">
        <f t="shared" si="6"/>
        <v>51669</v>
      </c>
      <c r="F25">
        <f t="shared" ref="F25:F29" si="8">E25/$D$23</f>
        <v>6.58209691041831E-2</v>
      </c>
    </row>
    <row r="26" spans="1:6">
      <c r="B26">
        <f t="shared" si="7"/>
        <v>5.0000000000000001E-3</v>
      </c>
      <c r="C26">
        <v>2</v>
      </c>
      <c r="D26" s="3">
        <v>842554</v>
      </c>
      <c r="E26">
        <f t="shared" si="6"/>
        <v>57561</v>
      </c>
      <c r="F26">
        <f t="shared" si="8"/>
        <v>7.3326768518954949E-2</v>
      </c>
    </row>
    <row r="27" spans="1:6">
      <c r="B27">
        <f t="shared" si="7"/>
        <v>5.7142857142857143E-3</v>
      </c>
      <c r="C27">
        <v>1.75</v>
      </c>
      <c r="D27" s="3">
        <v>844535</v>
      </c>
      <c r="E27">
        <f t="shared" si="6"/>
        <v>59542</v>
      </c>
      <c r="F27">
        <f t="shared" si="8"/>
        <v>7.5850357901280654E-2</v>
      </c>
    </row>
    <row r="28" spans="1:6">
      <c r="B28">
        <f t="shared" si="7"/>
        <v>6.6666666666666671E-3</v>
      </c>
      <c r="C28">
        <v>1.5</v>
      </c>
      <c r="D28" s="3">
        <v>879507</v>
      </c>
      <c r="E28">
        <f t="shared" si="6"/>
        <v>94514</v>
      </c>
      <c r="F28">
        <f t="shared" si="8"/>
        <v>0.12040107364014711</v>
      </c>
    </row>
    <row r="29" spans="1:6">
      <c r="B29">
        <f t="shared" si="7"/>
        <v>0.01</v>
      </c>
      <c r="C29">
        <v>1</v>
      </c>
      <c r="D29" s="3">
        <v>970309</v>
      </c>
      <c r="E29">
        <f t="shared" si="6"/>
        <v>185316</v>
      </c>
      <c r="F29">
        <f t="shared" si="8"/>
        <v>0.23607344269311956</v>
      </c>
    </row>
    <row r="33" spans="3:4">
      <c r="C33" s="3" t="s">
        <v>9</v>
      </c>
      <c r="D33" s="3" t="s">
        <v>11</v>
      </c>
    </row>
    <row r="34" spans="3:4">
      <c r="C34" s="3" t="s">
        <v>10</v>
      </c>
      <c r="D34" s="3" t="s">
        <v>12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9588-0C06-417B-8E80-073DA47DB8A1}">
  <dimension ref="A1:Q33"/>
  <sheetViews>
    <sheetView tabSelected="1" topLeftCell="H1" workbookViewId="0">
      <selection activeCell="Q33" sqref="Q33"/>
    </sheetView>
  </sheetViews>
  <sheetFormatPr baseColWidth="10" defaultRowHeight="15"/>
  <sheetData>
    <row r="1" spans="1:6">
      <c r="A1" s="4" t="s">
        <v>5</v>
      </c>
      <c r="B1" s="2" t="s">
        <v>4</v>
      </c>
      <c r="C1" t="s">
        <v>3</v>
      </c>
      <c r="D1" t="s">
        <v>0</v>
      </c>
      <c r="E1" s="1" t="s">
        <v>1</v>
      </c>
      <c r="F1" s="2" t="s">
        <v>8</v>
      </c>
    </row>
    <row r="2" spans="1:6">
      <c r="C2">
        <v>0</v>
      </c>
      <c r="D2" s="3">
        <v>921045</v>
      </c>
      <c r="E2">
        <f>D2-$D$2</f>
        <v>0</v>
      </c>
      <c r="F2" s="1"/>
    </row>
    <row r="3" spans="1:6">
      <c r="B3">
        <f>0.02/(2*C3)</f>
        <v>4.0000000000000001E-3</v>
      </c>
      <c r="C3">
        <v>2.5</v>
      </c>
      <c r="D3" s="3">
        <v>822407</v>
      </c>
      <c r="E3">
        <f>D3-$D$2</f>
        <v>-98638</v>
      </c>
      <c r="F3">
        <f>E3/$D$2</f>
        <v>-0.10709357306103394</v>
      </c>
    </row>
    <row r="4" spans="1:6">
      <c r="B4">
        <f t="shared" ref="B4:B6" si="0">0.02/(2*C4)</f>
        <v>4.4444444444444444E-3</v>
      </c>
      <c r="C4">
        <v>2.25</v>
      </c>
      <c r="D4" s="3">
        <v>817385</v>
      </c>
      <c r="E4">
        <f t="shared" ref="E4:E8" si="1">D4-$D$2</f>
        <v>-103660</v>
      </c>
      <c r="F4">
        <f t="shared" ref="F4:F6" si="2">E4/$D$2</f>
        <v>-0.11254607538176745</v>
      </c>
    </row>
    <row r="5" spans="1:6">
      <c r="B5">
        <f t="shared" si="0"/>
        <v>5.0000000000000001E-3</v>
      </c>
      <c r="C5">
        <v>2</v>
      </c>
      <c r="D5" s="3">
        <v>812417</v>
      </c>
      <c r="E5">
        <f t="shared" si="1"/>
        <v>-108628</v>
      </c>
      <c r="F5">
        <f t="shared" si="2"/>
        <v>-0.11793994864528877</v>
      </c>
    </row>
    <row r="6" spans="1:6">
      <c r="B6">
        <f t="shared" si="0"/>
        <v>5.7142857142857143E-3</v>
      </c>
      <c r="C6">
        <v>1.75</v>
      </c>
      <c r="D6" s="3">
        <v>788354</v>
      </c>
      <c r="E6">
        <f t="shared" si="1"/>
        <v>-132691</v>
      </c>
      <c r="F6">
        <f t="shared" si="2"/>
        <v>-0.14406570797300891</v>
      </c>
    </row>
    <row r="7" spans="1:6">
      <c r="C7">
        <v>1.5</v>
      </c>
      <c r="D7" s="3"/>
      <c r="E7">
        <f t="shared" si="1"/>
        <v>-921045</v>
      </c>
    </row>
    <row r="8" spans="1:6">
      <c r="C8">
        <v>1</v>
      </c>
      <c r="D8" s="3"/>
      <c r="E8">
        <f t="shared" si="1"/>
        <v>-921045</v>
      </c>
    </row>
    <row r="11" spans="1:6">
      <c r="A11" s="4" t="s">
        <v>6</v>
      </c>
      <c r="B11" s="2" t="s">
        <v>4</v>
      </c>
      <c r="C11" t="s">
        <v>3</v>
      </c>
      <c r="D11" t="s">
        <v>0</v>
      </c>
      <c r="E11" s="1" t="s">
        <v>1</v>
      </c>
      <c r="F11" s="1" t="s">
        <v>2</v>
      </c>
    </row>
    <row r="12" spans="1:6">
      <c r="C12">
        <v>0</v>
      </c>
      <c r="D12" s="3">
        <v>442324</v>
      </c>
      <c r="E12">
        <f>D12-$D$2</f>
        <v>-478721</v>
      </c>
      <c r="F12" s="1"/>
    </row>
    <row r="13" spans="1:6">
      <c r="B13">
        <f>0.02/(2*C13)</f>
        <v>4.0000000000000001E-3</v>
      </c>
      <c r="C13">
        <v>2.5</v>
      </c>
      <c r="D13" s="3">
        <v>421521</v>
      </c>
      <c r="E13">
        <f>D13-$D$2</f>
        <v>-499524</v>
      </c>
      <c r="F13">
        <f>E13/$D$2</f>
        <v>-0.54234483657150301</v>
      </c>
    </row>
    <row r="14" spans="1:6">
      <c r="B14">
        <f t="shared" ref="B14:B18" si="3">0.02/(2*C14)</f>
        <v>4.4444444444444444E-3</v>
      </c>
      <c r="C14">
        <v>2.25</v>
      </c>
      <c r="D14" s="3">
        <v>410733</v>
      </c>
      <c r="E14">
        <f t="shared" ref="E14:E18" si="4">D14-$D$2</f>
        <v>-510312</v>
      </c>
      <c r="F14">
        <f t="shared" ref="F14:F18" si="5">E14/$D$2</f>
        <v>-0.55405761933456021</v>
      </c>
    </row>
    <row r="15" spans="1:6">
      <c r="B15">
        <f t="shared" si="3"/>
        <v>5.0000000000000001E-3</v>
      </c>
      <c r="C15">
        <v>2</v>
      </c>
      <c r="D15" s="3">
        <v>394897</v>
      </c>
      <c r="E15">
        <f t="shared" si="4"/>
        <v>-526148</v>
      </c>
      <c r="F15">
        <f t="shared" si="5"/>
        <v>-0.57125113322367527</v>
      </c>
    </row>
    <row r="16" spans="1:6">
      <c r="B16">
        <f t="shared" si="3"/>
        <v>5.7142857142857143E-3</v>
      </c>
      <c r="C16">
        <v>1.75</v>
      </c>
      <c r="D16" s="3"/>
      <c r="E16">
        <f t="shared" si="4"/>
        <v>-921045</v>
      </c>
      <c r="F16">
        <f t="shared" si="5"/>
        <v>-1</v>
      </c>
    </row>
    <row r="17" spans="1:6">
      <c r="B17">
        <f t="shared" si="3"/>
        <v>6.6666666666666671E-3</v>
      </c>
      <c r="C17">
        <v>1.5</v>
      </c>
      <c r="D17" s="3"/>
      <c r="E17">
        <f t="shared" si="4"/>
        <v>-921045</v>
      </c>
      <c r="F17">
        <f t="shared" si="5"/>
        <v>-1</v>
      </c>
    </row>
    <row r="18" spans="1:6">
      <c r="B18">
        <f t="shared" si="3"/>
        <v>0.01</v>
      </c>
      <c r="C18">
        <v>1</v>
      </c>
      <c r="D18" s="3"/>
      <c r="E18">
        <f t="shared" si="4"/>
        <v>-921045</v>
      </c>
      <c r="F18">
        <f t="shared" si="5"/>
        <v>-1</v>
      </c>
    </row>
    <row r="22" spans="1:6">
      <c r="A22" s="4" t="s">
        <v>7</v>
      </c>
      <c r="B22" s="2" t="s">
        <v>4</v>
      </c>
      <c r="C22" t="s">
        <v>3</v>
      </c>
      <c r="D22" t="s">
        <v>0</v>
      </c>
      <c r="E22" s="1" t="s">
        <v>1</v>
      </c>
      <c r="F22" s="1" t="s">
        <v>2</v>
      </c>
    </row>
    <row r="23" spans="1:6">
      <c r="C23">
        <v>0</v>
      </c>
      <c r="D23" s="3">
        <v>815106</v>
      </c>
      <c r="E23">
        <f>D23-$D$23</f>
        <v>0</v>
      </c>
      <c r="F23" s="1"/>
    </row>
    <row r="24" spans="1:6">
      <c r="B24">
        <f>0.02/(2*C24)</f>
        <v>4.0000000000000001E-3</v>
      </c>
      <c r="C24">
        <v>2.5</v>
      </c>
      <c r="D24" s="3">
        <v>788616</v>
      </c>
      <c r="E24">
        <f t="shared" ref="E24:E29" si="6">D24-$D$23</f>
        <v>-26490</v>
      </c>
      <c r="F24">
        <f>E24/$D$23</f>
        <v>-3.2498840641585265E-2</v>
      </c>
    </row>
    <row r="25" spans="1:6">
      <c r="B25">
        <f t="shared" ref="B25:B29" si="7">0.02/(2*C25)</f>
        <v>4.4444444444444444E-3</v>
      </c>
      <c r="C25">
        <v>2.25</v>
      </c>
      <c r="D25" s="3">
        <v>764766</v>
      </c>
      <c r="E25">
        <f t="shared" si="6"/>
        <v>-50340</v>
      </c>
      <c r="F25">
        <f t="shared" ref="F25:F29" si="8">E25/$D$23</f>
        <v>-6.1758838727723753E-2</v>
      </c>
    </row>
    <row r="26" spans="1:6">
      <c r="B26">
        <f t="shared" si="7"/>
        <v>5.0000000000000001E-3</v>
      </c>
      <c r="C26">
        <v>2</v>
      </c>
      <c r="D26" s="3">
        <v>741394</v>
      </c>
      <c r="E26">
        <f t="shared" si="6"/>
        <v>-73712</v>
      </c>
      <c r="F26">
        <f t="shared" si="8"/>
        <v>-9.0432410017838166E-2</v>
      </c>
    </row>
    <row r="27" spans="1:6">
      <c r="B27">
        <f t="shared" si="7"/>
        <v>5.7142857142857143E-3</v>
      </c>
      <c r="C27">
        <v>1.75</v>
      </c>
      <c r="D27" s="3">
        <v>723889</v>
      </c>
      <c r="E27">
        <f t="shared" si="6"/>
        <v>-91217</v>
      </c>
      <c r="F27">
        <f t="shared" si="8"/>
        <v>-0.11190814446219265</v>
      </c>
    </row>
    <row r="28" spans="1:6">
      <c r="B28">
        <f t="shared" si="7"/>
        <v>6.6666666666666671E-3</v>
      </c>
      <c r="C28">
        <v>1.5</v>
      </c>
      <c r="D28" s="3"/>
      <c r="E28">
        <f t="shared" si="6"/>
        <v>-815106</v>
      </c>
      <c r="F28">
        <f t="shared" si="8"/>
        <v>-1</v>
      </c>
    </row>
    <row r="29" spans="1:6">
      <c r="B29">
        <f t="shared" si="7"/>
        <v>0.01</v>
      </c>
      <c r="C29">
        <v>1</v>
      </c>
      <c r="D29" s="3"/>
      <c r="E29">
        <f t="shared" si="6"/>
        <v>-815106</v>
      </c>
      <c r="F29">
        <f t="shared" si="8"/>
        <v>-1</v>
      </c>
    </row>
    <row r="33" spans="17:17">
      <c r="Q33" s="3" t="s">
        <v>13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En tension</vt:lpstr>
      <vt:lpstr>En 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 Robinson</dc:creator>
  <cp:lastModifiedBy>Yanis Robinson</cp:lastModifiedBy>
  <dcterms:created xsi:type="dcterms:W3CDTF">2026-04-15T15:19:07Z</dcterms:created>
  <dcterms:modified xsi:type="dcterms:W3CDTF">2026-04-16T15:10:44Z</dcterms:modified>
</cp:coreProperties>
</file>